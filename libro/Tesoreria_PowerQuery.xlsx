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1_{6CBACED0-0569-4338-A185-05897EB42769}" xr6:coauthVersionLast="47" xr6:coauthVersionMax="47" xr10:uidLastSave="{00000000-0000-0000-0000-000000000000}"/>
  <bookViews>
    <workbookView xWindow="-103" yWindow="-103" windowWidth="22149" windowHeight="13200" firstSheet="2" activeTab="5" xr2:uid="{00000000-000D-0000-FFFF-FFFF00000000}"/>
  </bookViews>
  <sheets>
    <sheet name="Movimientos" sheetId="3" r:id="rId1"/>
    <sheet name="MovCuenta" sheetId="4" r:id="rId2"/>
    <sheet name="PosiciónCaja" sheetId="6" r:id="rId3"/>
    <sheet name="Saldos_Cuenta" sheetId="5" r:id="rId4"/>
    <sheet name="Comisiones" sheetId="7" r:id="rId5"/>
    <sheet name="Cuentas" sheetId="1" r:id="rId6"/>
    <sheet name="TiposCambio" sheetId="2" r:id="rId7"/>
  </sheets>
  <definedNames>
    <definedName name="DatosExternos_1" localSheetId="0" hidden="1">Movimientos!$A$1:$F$26</definedName>
    <definedName name="DatosExternos_2" localSheetId="4" hidden="1">'Comisiones'!$A$1:$B$4</definedName>
    <definedName name="DatosExternos_2" localSheetId="1" hidden="1">MovCuenta!$A$1:$B$6</definedName>
    <definedName name="DatosExternos_3" localSheetId="3" hidden="1">Saldos_Cuenta!$A$1:$G$6</definedName>
    <definedName name="DatosExternos_4" localSheetId="2" hidden="1">PosiciónCaja!$A$1:$E$6</definedName>
  </definedNames>
  <calcPr calcId="191029"/>
  <pivotCaches>
    <pivotCache cacheId="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2EDDEB-F2FD-411E-862B-C3EF7D522894}" keepAlive="1" name="Consulta - Barclays" description="Conexión a la consulta 'Barclays' en el libro." type="5" refreshedVersion="0" background="1">
    <dbPr connection="Provider=Microsoft.Mashup.OleDb.1;Data Source=$Workbook$;Location=Barclays;Extended Properties=&quot;&quot;" command="SELECT * FROM [Barclays]"/>
  </connection>
  <connection id="2" xr16:uid="{06FD1DCC-E211-424D-950C-0A7330559E9D}" keepAlive="1" name="Consulta - Chase_US" description="Conexión a la consulta 'Chase_US' en el libro." type="5" refreshedVersion="0" background="1">
    <dbPr connection="Provider=Microsoft.Mashup.OleDb.1;Data Source=$Workbook$;Location=Chase_US;Extended Properties=&quot;&quot;" command="SELECT * FROM [Chase_US]"/>
  </connection>
  <connection id="3" xr16:uid="{84F260F7-5F75-4725-A64D-FD185FA5579C}" keepAlive="1" name="Consulta - Comisiones" description="Conexión a la consulta 'Comisiones' en el libro." type="5" refreshedVersion="8" background="1" saveData="1">
    <dbPr connection="Provider=Microsoft.Mashup.OleDb.1;Data Source=$Workbook$;Location=Comisiones;Extended Properties=&quot;&quot;" command="SELECT * FROM [Comisiones]"/>
  </connection>
  <connection id="4" xr16:uid="{D9BA9187-97B4-4802-A0F9-84A6213AF3F3}" keepAlive="1" name="Consulta - MovCuenta" description="Conexión a la consulta 'MovCuenta' en el libro." type="5" refreshedVersion="8" background="1" saveData="1">
    <dbPr connection="Provider=Microsoft.Mashup.OleDb.1;Data Source=$Workbook$;Location=MovCuenta;Extended Properties=&quot;&quot;" command="SELECT * FROM [MovCuenta]"/>
  </connection>
  <connection id="5" xr16:uid="{2119D929-A248-4814-A161-98C83AE206D7}" keepAlive="1" name="Consulta - Movimientos" description="Conexión a la consulta 'Movimientos' en el libro." type="5" refreshedVersion="8" background="1" saveData="1">
    <dbPr connection="Provider=Microsoft.Mashup.OleDb.1;Data Source=$Workbook$;Location=Movimientos;Extended Properties=&quot;&quot;" command="SELECT * FROM [Movimientos]"/>
  </connection>
  <connection id="6" xr16:uid="{FCB94CF8-D3EC-498F-8C39-476723FCD7D6}" keepAlive="1" name="Consulta - PosiciónCaja" description="Conexión a la consulta 'PosiciónCaja' en el libro." type="5" refreshedVersion="8" background="1" saveData="1">
    <dbPr connection="Provider=Microsoft.Mashup.OleDb.1;Data Source=$Workbook$;Location=PosiciónCaja;Extended Properties=&quot;&quot;" command="SELECT * FROM [PosiciónCaja]"/>
  </connection>
  <connection id="7" xr16:uid="{AD4FF855-D3C9-4813-8C26-B91193CC4238}" keepAlive="1" name="Consulta - Saldos_Cuenta" description="Conexión a la consulta 'Saldos_Cuenta' en el libro." type="5" refreshedVersion="8" background="1" saveData="1">
    <dbPr connection="Provider=Microsoft.Mashup.OleDb.1;Data Source=$Workbook$;Location=Saldos_Cuenta;Extended Properties=&quot;&quot;" command="SELECT * FROM [Saldos_Cuenta]"/>
  </connection>
  <connection id="8" xr16:uid="{6BDD21D8-FF70-4FCB-ABC4-D562313577F7}" keepAlive="1" name="Consulta - Santander" description="Conexión a la consulta 'Santander' en el libro." type="5" refreshedVersion="0" background="1">
    <dbPr connection="Provider=Microsoft.Mashup.OleDb.1;Data Source=$Workbook$;Location=Santander;Extended Properties=&quot;&quot;" command="SELECT * FROM [Santander]"/>
  </connection>
  <connection id="9" xr16:uid="{6CEDFEE0-5BA6-4658-BC46-E024A98A7C93}" keepAlive="1" name="Consulta - tCuentas" description="Conexión a la consulta 'tCuentas' en el libro." type="5" refreshedVersion="0" background="1">
    <dbPr connection="Provider=Microsoft.Mashup.OleDb.1;Data Source=$Workbook$;Location=tCuentas;Extended Properties=&quot;&quot;" command="SELECT * FROM [tCuentas]"/>
  </connection>
  <connection id="10" xr16:uid="{C8BA8C75-BA62-4FEA-A245-209D69ACEEE3}" keepAlive="1" name="Consulta - tTipos" description="Conexión a la consulta 'tTipos' en el libro." type="5" refreshedVersion="0" background="1">
    <dbPr connection="Provider=Microsoft.Mashup.OleDb.1;Data Source=$Workbook$;Location=tTipos;Extended Properties=&quot;&quot;" command="SELECT * FROM [tTipos]"/>
  </connection>
</connections>
</file>

<file path=xl/sharedStrings.xml><?xml version="1.0" encoding="utf-8"?>
<sst xmlns="http://schemas.openxmlformats.org/spreadsheetml/2006/main" count="204" uniqueCount="56">
  <si>
    <t>Cuenta</t>
  </si>
  <si>
    <t>Banco</t>
  </si>
  <si>
    <t>Sociedad</t>
  </si>
  <si>
    <t>Divisa</t>
  </si>
  <si>
    <t>Saldo_inicial</t>
  </si>
  <si>
    <t>Saldo_inicial = saldo de cada cuenta al cierre del 19/10/2026</t>
  </si>
  <si>
    <t>ES1200491500001234567890</t>
  </si>
  <si>
    <t>Santander</t>
  </si>
  <si>
    <t>Entertainment Forever España SL</t>
  </si>
  <si>
    <t>EUR</t>
  </si>
  <si>
    <t>ES4500491500009876543210</t>
  </si>
  <si>
    <t>USD</t>
  </si>
  <si>
    <t>GB29BARC20000012345678</t>
  </si>
  <si>
    <t>Barclays</t>
  </si>
  <si>
    <t>Entertainment Forever UK Ltd</t>
  </si>
  <si>
    <t>GBP</t>
  </si>
  <si>
    <t>GB82BARC20000087654321</t>
  </si>
  <si>
    <t>CHASE-4821</t>
  </si>
  <si>
    <t>Chase</t>
  </si>
  <si>
    <t>Entertainment Forever USA Inc</t>
  </si>
  <si>
    <t>Unidades_por_EUR</t>
  </si>
  <si>
    <t>Tipos ficticios a 24/10/2026: 1 EUR = X unidades de la divisa. Saldo en EUR = Saldo / Unidades_por_EUR</t>
  </si>
  <si>
    <t>Fecha</t>
  </si>
  <si>
    <t>Concepto</t>
  </si>
  <si>
    <t>Importe</t>
  </si>
  <si>
    <t>STRIPE PAYOUT</t>
  </si>
  <si>
    <t>VENUE PAYMENT CANDLELIGHT NYC</t>
  </si>
  <si>
    <t>PAYROLL ADP</t>
  </si>
  <si>
    <t>WIRE TRANSFER FEE</t>
  </si>
  <si>
    <t>PROMOTER PAYMENT CHICAGO</t>
  </si>
  <si>
    <t>Stripe settlement</t>
  </si>
  <si>
    <t>Payment to venue - Kew Gardens</t>
  </si>
  <si>
    <t>Intercompany transfer from Entertainment Forever Espana SL</t>
  </si>
  <si>
    <t>Payroll October</t>
  </si>
  <si>
    <t>Bank charges</t>
  </si>
  <si>
    <t>Payment to promoter - Dublin</t>
  </si>
  <si>
    <t>HMRC VAT payment</t>
  </si>
  <si>
    <t>Cobros Stripe liquidación</t>
  </si>
  <si>
    <t>Pago promotor Candlelight Madrid</t>
  </si>
  <si>
    <t>Nóminas octubre</t>
  </si>
  <si>
    <t>Transferencia intragrupo a Entertainment Forever UK Ltd</t>
  </si>
  <si>
    <t>Cobro Adyen USD</t>
  </si>
  <si>
    <t>Comisión transferencia internacional</t>
  </si>
  <si>
    <t>Pago proveedor tecnología</t>
  </si>
  <si>
    <t>Pago recinto IFEMA</t>
  </si>
  <si>
    <t>Comisión mantenimiento cuenta</t>
  </si>
  <si>
    <t>Liquidación IVA Hacienda</t>
  </si>
  <si>
    <t>Movimientos</t>
  </si>
  <si>
    <t>Saldo_Final</t>
  </si>
  <si>
    <t>Saldo</t>
  </si>
  <si>
    <t>Saldo_EUR</t>
  </si>
  <si>
    <t>Total</t>
  </si>
  <si>
    <t>Total general</t>
  </si>
  <si>
    <t>Etiquetas de fila</t>
  </si>
  <si>
    <t>Suma de Saldo_EUR</t>
  </si>
  <si>
    <t>Total_comisiones_EUR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</si>
</sst>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2" borderId="0" xfId="0" applyFill="1"/>
    <xf numFmtId="4" fontId="0" fillId="2" borderId="0" xfId="0" applyNumberFormat="1" applyFill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8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refreshOnLoad="1" mc:Ignorable="xr" r:id="rId1" refreshedBy="Javier Angosto" refreshedDate="46324.46357777778" createdVersion="8" refreshedVersion="8" minRefreshableVersion="3" recordCount="5" xr:uid="{450116B4-AE60-4FF3-861F-BEE85B5F3E92}">
  <cacheSource type="worksheet">
    <worksheetSource name="PosiciónCaja"/>
  </cacheSource>
  <cacheFields count="5">
    <cacheField name="Sociedad" numFmtId="0">
      <sharedItems count="3">
        <s v="Entertainment Forever España SL"/>
        <s v="Entertainment Forever USA Inc"/>
        <s v="Entertainment Forever UK Ltd"/>
      </sharedItems>
    </cacheField>
    <cacheField name="Divisa" numFmtId="0">
      <sharedItems count="3">
        <s v="EUR"/>
        <s v="USD"/>
        <s v="GBP"/>
      </sharedItems>
    </cacheField>
    <cacheField name="Saldo" numFmtId="0">
      <sharedItems containsSemiMixedTypes="0" containsString="0" containsNumber="1" minValue="66250" maxValue="1256110.8500000001" count="6">
        <n v="896580.65"/>
        <n v="1256110.8500000001"/>
        <n v="161665"/>
        <n v="469989.8"/>
        <n v="66250"/>
        <n v="886580.65" u="1"/>
      </sharedItems>
    </cacheField>
    <cacheField name="Unidades_por_EUR" numFmtId="0">
      <sharedItems containsSemiMixedTypes="0" containsString="0" containsNumber="1" minValue="0.84199999999999997" maxValue="1.085"/>
    </cacheField>
    <cacheField name="Saldo_EUR" numFmtId="0">
      <sharedItems containsSemiMixedTypes="0" containsString="0" containsNumber="1" minValue="66250" maxValue="1157705.85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n v="1"/>
    <n v="896580.65"/>
  </r>
  <r>
    <x v="1"/>
    <x v="1"/>
    <x v="1"/>
    <n v="1.085"/>
    <n v="1157705.8500000001"/>
  </r>
  <r>
    <x v="0"/>
    <x v="1"/>
    <x v="2"/>
    <n v="1.085"/>
    <n v="149000"/>
  </r>
  <r>
    <x v="2"/>
    <x v="2"/>
    <x v="3"/>
    <n v="0.84199999999999997"/>
    <n v="558182.66"/>
  </r>
  <r>
    <x v="2"/>
    <x v="0"/>
    <x v="4"/>
    <n v="1"/>
    <n v="66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508C4-12A7-45EC-A787-05AE7EE7717D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H17" firstHeaderRow="1" firstDataRow="1" firstDataCol="1"/>
  <pivotFields count="5">
    <pivotField axis="axisRow" showAll="0">
      <items count="4">
        <item x="0"/>
        <item x="2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axis="axisRow" showAll="0">
      <items count="7">
        <item x="4"/>
        <item x="2"/>
        <item x="3"/>
        <item m="1" x="5"/>
        <item x="1"/>
        <item x="0"/>
        <item t="default"/>
      </items>
    </pivotField>
    <pivotField showAll="0"/>
    <pivotField dataField="1" showAll="0"/>
  </pivotFields>
  <rowFields count="3">
    <field x="0"/>
    <field x="1"/>
    <field x="2"/>
  </rowFields>
  <rowItems count="14">
    <i>
      <x/>
    </i>
    <i r="1">
      <x/>
    </i>
    <i r="2">
      <x v="5"/>
    </i>
    <i r="1">
      <x v="2"/>
    </i>
    <i r="2">
      <x v="1"/>
    </i>
    <i>
      <x v="1"/>
    </i>
    <i r="1">
      <x/>
    </i>
    <i r="2">
      <x/>
    </i>
    <i r="1">
      <x v="1"/>
    </i>
    <i r="2">
      <x v="2"/>
    </i>
    <i>
      <x v="2"/>
    </i>
    <i r="1">
      <x v="2"/>
    </i>
    <i r="2">
      <x v="4"/>
    </i>
    <i t="grand">
      <x/>
    </i>
  </rowItems>
  <colItems count="1">
    <i/>
  </colItems>
  <dataFields count="1">
    <dataField name="Suma de Saldo_EU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22CBA8CC-025C-4C9A-8BFA-8B11E199A902}" autoFormatId="16" applyNumberFormats="0" applyBorderFormats="0" applyFontFormats="0" applyPatternFormats="0" applyAlignmentFormats="0" applyWidthHeightFormats="0">
  <queryTableRefresh nextId="7">
    <queryTableFields count="6">
      <queryTableField id="1" name="Fecha" tableColumnId="1"/>
      <queryTableField id="2" name="Banco" tableColumnId="2"/>
      <queryTableField id="3" name="Cuenta" tableColumnId="3"/>
      <queryTableField id="4" name="Concepto" tableColumnId="4"/>
      <queryTableField id="5" name="Importe" tableColumnId="5"/>
      <queryTableField id="6" name="Divisa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A4D6A083-C85A-4152-B22F-2D8798374410}" autoFormatId="16" applyNumberFormats="0" applyBorderFormats="0" applyFontFormats="0" applyPatternFormats="0" applyAlignmentFormats="0" applyWidthHeightFormats="0">
  <queryTableRefresh nextId="3">
    <queryTableFields count="2">
      <queryTableField id="1" name="Cuenta" tableColumnId="1"/>
      <queryTableField id="2" name="Movimiento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6" xr16:uid="{73369B08-12DC-4639-9026-CD80767F74CB}" autoFormatId="16" applyNumberFormats="0" applyBorderFormats="0" applyFontFormats="0" applyPatternFormats="0" applyAlignmentFormats="0" applyWidthHeightFormats="0">
  <queryTableRefresh nextId="6">
    <queryTableFields count="5">
      <queryTableField id="1" name="Sociedad" tableColumnId="1"/>
      <queryTableField id="2" name="Divisa" tableColumnId="2"/>
      <queryTableField id="3" name="Saldo" tableColumnId="3"/>
      <queryTableField id="4" name="Unidades_por_EUR" tableColumnId="4"/>
      <queryTableField id="5" name="Saldo_EUR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7" xr16:uid="{F1E676E9-EC29-4431-BA8E-5E2DE74C75B5}" autoFormatId="16" applyNumberFormats="0" applyBorderFormats="0" applyFontFormats="0" applyPatternFormats="0" applyAlignmentFormats="0" applyWidthHeightFormats="0">
  <queryTableRefresh nextId="8">
    <queryTableFields count="7">
      <queryTableField id="1" name="Cuenta" tableColumnId="1"/>
      <queryTableField id="2" name="Banco" tableColumnId="2"/>
      <queryTableField id="3" name="Sociedad" tableColumnId="3"/>
      <queryTableField id="4" name="Divisa" tableColumnId="4"/>
      <queryTableField id="5" name="Saldo_inicial" tableColumnId="5"/>
      <queryTableField id="6" name="Movimientos" tableColumnId="6"/>
      <queryTableField id="7" name="Saldo_Final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386B271B-C652-4880-B76F-BF96C6B60C41}" autoFormatId="16" applyNumberFormats="0" applyBorderFormats="0" applyFontFormats="0" applyPatternFormats="0" applyAlignmentFormats="0" applyWidthHeightFormats="0">
  <queryTableRefresh nextId="11">
    <queryTableFields count="2">
      <queryTableField id="2" name="Banco" tableColumnId="2"/>
      <queryTableField id="10" name="Total_comisiones_EUR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C19E00-EFC8-4FB6-B57A-433A25DB6105}" name="Movimientos" displayName="Movimientos" ref="A1:F26" tableType="queryTable" totalsRowShown="0">
  <autoFilter ref="A1:F26" xr:uid="{9DC19E00-EFC8-4FB6-B57A-433A25DB6105}"/>
  <sortState xmlns:xlrd2="http://schemas.microsoft.com/office/spreadsheetml/2017/richdata2" ref="A2:F26">
    <sortCondition ref="A1:A26"/>
  </sortState>
  <tableColumns count="6">
    <tableColumn id="1" xr3:uid="{EE48C18E-21F0-4EF3-A363-563254CFDDD0}" uniqueName="1" name="Fecha" queryTableFieldId="1" dataDxfId="0"/>
    <tableColumn id="2" xr3:uid="{859F7CBF-C07F-4FD6-8320-D85B973C7099}" uniqueName="2" name="Banco" queryTableFieldId="2"/>
    <tableColumn id="3" xr3:uid="{8809BD40-A305-4135-8DFF-15E539E76E47}" uniqueName="3" name="Cuenta" queryTableFieldId="3"/>
    <tableColumn id="4" xr3:uid="{8FF8859E-42F1-4CC1-9CCA-486D1957BDCA}" uniqueName="4" name="Concepto" queryTableFieldId="4" dataDxfId="1"/>
    <tableColumn id="5" xr3:uid="{C53DB4CA-7120-4B21-AD2C-B41CFD0D00BB}" uniqueName="5" name="Importe" queryTableFieldId="5"/>
    <tableColumn id="6" xr3:uid="{E921987E-58FF-42DB-A7DB-DE666F57D66F}" uniqueName="6" name="Divisa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8C8E21-34AC-45C4-9EFF-DA15F4D38549}" name="MovCuenta" displayName="MovCuenta" ref="A1:B6" tableType="queryTable" totalsRowShown="0">
  <autoFilter ref="A1:B6" xr:uid="{688C8E21-34AC-45C4-9EFF-DA15F4D38549}"/>
  <tableColumns count="2">
    <tableColumn id="1" xr3:uid="{E152C46E-0191-4262-A964-078994A455A4}" uniqueName="1" name="Cuenta" queryTableFieldId="1"/>
    <tableColumn id="2" xr3:uid="{5E690EDE-5DCF-4928-B0A7-91C0B75E485A}" uniqueName="2" name="Movimientos" queryTableFieldId="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02CFB69-0B28-4221-95BB-8C8026A90067}" name="PosiciónCaja" displayName="PosiciónCaja" ref="A1:E7" tableType="queryTable" totalsRowCount="1">
  <autoFilter ref="A1:E6" xr:uid="{C02CFB69-0B28-4221-95BB-8C8026A90067}"/>
  <tableColumns count="5">
    <tableColumn id="1" xr3:uid="{2CB0650B-143A-4854-A19B-29674EAE29E1}" uniqueName="1" name="Sociedad" totalsRowLabel="Total" queryTableFieldId="1" dataDxfId="7"/>
    <tableColumn id="2" xr3:uid="{E1702D5A-7DE1-4365-AE26-A4BAED1EF381}" uniqueName="2" name="Divisa" queryTableFieldId="2" dataDxfId="6"/>
    <tableColumn id="3" xr3:uid="{2B950421-2F74-4BB5-9D5A-2916845DBCDE}" uniqueName="3" name="Saldo" queryTableFieldId="3"/>
    <tableColumn id="4" xr3:uid="{6577C2A1-C069-4A40-B786-87523BAEBE7C}" uniqueName="4" name="Unidades_por_EUR" queryTableFieldId="4"/>
    <tableColumn id="5" xr3:uid="{6BB5C8BB-9E4F-40B5-BF7E-AB7B30151A8E}" uniqueName="5" name="Saldo_EUR" totalsRowFunction="sum" queryTableFieldId="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37BECF-DD55-4155-9871-8B73DD3C64E8}" name="Saldos_Cuenta" displayName="Saldos_Cuenta" ref="A1:G6" tableType="queryTable" totalsRowShown="0">
  <autoFilter ref="A1:G6" xr:uid="{9737BECF-DD55-4155-9871-8B73DD3C64E8}"/>
  <tableColumns count="7">
    <tableColumn id="1" xr3:uid="{C1918784-1454-45F1-BA72-C16867338101}" uniqueName="1" name="Cuenta" queryTableFieldId="1" dataDxfId="5"/>
    <tableColumn id="2" xr3:uid="{856BAEBC-6AF9-4768-B374-7ED36A26C084}" uniqueName="2" name="Banco" queryTableFieldId="2" dataDxfId="4"/>
    <tableColumn id="3" xr3:uid="{F70630EC-488B-446C-A346-4FF18C436FA1}" uniqueName="3" name="Sociedad" queryTableFieldId="3" dataDxfId="3"/>
    <tableColumn id="4" xr3:uid="{3BDF22D3-F4EA-4EFB-AA3E-88B0E7D59D77}" uniqueName="4" name="Divisa" queryTableFieldId="4" dataDxfId="2"/>
    <tableColumn id="5" xr3:uid="{2A680F31-08A6-49F6-BA0B-C280B6A2B848}" uniqueName="5" name="Saldo_inicial" queryTableFieldId="5"/>
    <tableColumn id="6" xr3:uid="{6B5C511C-8561-475D-BB39-B05D5026DA34}" uniqueName="6" name="Movimientos" queryTableFieldId="6"/>
    <tableColumn id="7" xr3:uid="{51DB7120-11B9-4E10-92C5-A2B13DCD1E46}" uniqueName="7" name="Saldo_Final" queryTableFieldId="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EA6A10C-F349-4E29-8FCA-30172F965F9B}" name="Comisiones" displayName="Comisiones" ref="A1:B4" tableType="queryTable" totalsRowShown="0">
  <autoFilter ref="A1:B4" xr:uid="{7EA6A10C-F349-4E29-8FCA-30172F965F9B}"/>
  <tableColumns count="2">
    <tableColumn id="2" xr3:uid="{81E29F7F-D0EA-4456-96D0-219F1B5A518A}" uniqueName="2" name="Banco" queryTableFieldId="2"/>
    <tableColumn id="10" xr3:uid="{C85410FD-E1B4-467E-BF4D-5462CDB79052}" uniqueName="10" name="Total_comisiones_EUR" queryTableFieldId="1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Cuentas" displayName="tCuentas" ref="A1:E6">
  <autoFilter ref="A1:E6" xr:uid="{00000000-0009-0000-0100-000001000000}"/>
  <tableColumns count="5">
    <tableColumn id="1" xr3:uid="{00000000-0010-0000-0000-000001000000}" name="Cuenta"/>
    <tableColumn id="2" xr3:uid="{00000000-0010-0000-0000-000002000000}" name="Banco"/>
    <tableColumn id="3" xr3:uid="{00000000-0010-0000-0000-000003000000}" name="Sociedad"/>
    <tableColumn id="4" xr3:uid="{00000000-0010-0000-0000-000004000000}" name="Divisa"/>
    <tableColumn id="5" xr3:uid="{00000000-0010-0000-0000-000005000000}" name="Saldo_inici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Tipos" displayName="tTipos" ref="A1:B4">
  <autoFilter ref="A1:B4" xr:uid="{00000000-0009-0000-0100-000002000000}"/>
  <tableColumns count="2">
    <tableColumn id="1" xr3:uid="{00000000-0010-0000-0100-000001000000}" name="Divisa"/>
    <tableColumn id="2" xr3:uid="{00000000-0010-0000-0100-000002000000}" name="Unidades_por_E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56C4-F40E-468C-85DB-2BCBBC130C42}">
  <dimension ref="A1:F26"/>
  <sheetViews>
    <sheetView zoomScale="84" workbookViewId="0">
      <selection activeCell="E31" sqref="E31"/>
    </sheetView>
  </sheetViews>
  <sheetFormatPr baseColWidth="10" defaultRowHeight="14.6" x14ac:dyDescent="0.4"/>
  <cols>
    <col min="1" max="1" width="10.53515625" bestFit="1" customWidth="1"/>
    <col min="2" max="2" width="9.3828125" bestFit="1" customWidth="1"/>
    <col min="3" max="3" width="25.07421875" bestFit="1" customWidth="1"/>
    <col min="4" max="4" width="38.4609375" bestFit="1" customWidth="1"/>
    <col min="5" max="5" width="10.3046875" bestFit="1" customWidth="1"/>
    <col min="6" max="6" width="8.3828125" bestFit="1" customWidth="1"/>
  </cols>
  <sheetData>
    <row r="1" spans="1:6" x14ac:dyDescent="0.4">
      <c r="A1" t="s">
        <v>22</v>
      </c>
      <c r="B1" t="s">
        <v>1</v>
      </c>
      <c r="C1" t="s">
        <v>0</v>
      </c>
      <c r="D1" t="s">
        <v>23</v>
      </c>
      <c r="E1" t="s">
        <v>24</v>
      </c>
      <c r="F1" t="s">
        <v>3</v>
      </c>
    </row>
    <row r="2" spans="1:6" x14ac:dyDescent="0.4">
      <c r="A2" s="5">
        <v>46315</v>
      </c>
      <c r="B2" t="s">
        <v>18</v>
      </c>
      <c r="C2" t="s">
        <v>17</v>
      </c>
      <c r="D2" t="s">
        <v>25</v>
      </c>
      <c r="E2">
        <v>176880.25</v>
      </c>
      <c r="F2" t="s">
        <v>11</v>
      </c>
    </row>
    <row r="3" spans="1:6" x14ac:dyDescent="0.4">
      <c r="A3" s="5">
        <v>46315</v>
      </c>
      <c r="B3" t="s">
        <v>13</v>
      </c>
      <c r="C3" t="s">
        <v>12</v>
      </c>
      <c r="D3" t="s">
        <v>30</v>
      </c>
      <c r="E3">
        <v>132450</v>
      </c>
      <c r="F3" t="s">
        <v>15</v>
      </c>
    </row>
    <row r="4" spans="1:6" x14ac:dyDescent="0.4">
      <c r="A4" s="5">
        <v>46315</v>
      </c>
      <c r="B4" t="s">
        <v>13</v>
      </c>
      <c r="C4" t="s">
        <v>12</v>
      </c>
      <c r="D4" t="s">
        <v>31</v>
      </c>
      <c r="E4">
        <v>-22800</v>
      </c>
      <c r="F4" t="s">
        <v>15</v>
      </c>
    </row>
    <row r="5" spans="1:6" x14ac:dyDescent="0.4">
      <c r="A5" s="5">
        <v>46315</v>
      </c>
      <c r="B5" t="s">
        <v>7</v>
      </c>
      <c r="C5" t="s">
        <v>6</v>
      </c>
      <c r="D5" t="s">
        <v>37</v>
      </c>
      <c r="E5">
        <v>245320.5</v>
      </c>
      <c r="F5" t="s">
        <v>9</v>
      </c>
    </row>
    <row r="6" spans="1:6" x14ac:dyDescent="0.4">
      <c r="A6" s="5">
        <v>46315</v>
      </c>
      <c r="B6" t="s">
        <v>7</v>
      </c>
      <c r="C6" t="s">
        <v>6</v>
      </c>
      <c r="D6" t="s">
        <v>38</v>
      </c>
      <c r="E6">
        <v>-38400</v>
      </c>
      <c r="F6" t="s">
        <v>9</v>
      </c>
    </row>
    <row r="7" spans="1:6" x14ac:dyDescent="0.4">
      <c r="A7" s="5">
        <v>46316</v>
      </c>
      <c r="B7" t="s">
        <v>18</v>
      </c>
      <c r="C7" t="s">
        <v>17</v>
      </c>
      <c r="D7" t="s">
        <v>26</v>
      </c>
      <c r="E7">
        <v>-45600</v>
      </c>
      <c r="F7" t="s">
        <v>11</v>
      </c>
    </row>
    <row r="8" spans="1:6" x14ac:dyDescent="0.4">
      <c r="A8" s="5">
        <v>46316</v>
      </c>
      <c r="B8" t="s">
        <v>18</v>
      </c>
      <c r="C8" t="s">
        <v>17</v>
      </c>
      <c r="D8" t="s">
        <v>27</v>
      </c>
      <c r="E8">
        <v>-238400</v>
      </c>
      <c r="F8" t="s">
        <v>11</v>
      </c>
    </row>
    <row r="9" spans="1:6" x14ac:dyDescent="0.4">
      <c r="A9" s="5">
        <v>46316</v>
      </c>
      <c r="B9" t="s">
        <v>13</v>
      </c>
      <c r="C9" t="s">
        <v>16</v>
      </c>
      <c r="D9" t="s">
        <v>32</v>
      </c>
      <c r="E9">
        <v>50000</v>
      </c>
      <c r="F9" t="s">
        <v>9</v>
      </c>
    </row>
    <row r="10" spans="1:6" x14ac:dyDescent="0.4">
      <c r="A10" s="5">
        <v>46316</v>
      </c>
      <c r="B10" t="s">
        <v>13</v>
      </c>
      <c r="C10" t="s">
        <v>12</v>
      </c>
      <c r="D10" t="s">
        <v>33</v>
      </c>
      <c r="E10">
        <v>-96300</v>
      </c>
      <c r="F10" t="s">
        <v>15</v>
      </c>
    </row>
    <row r="11" spans="1:6" x14ac:dyDescent="0.4">
      <c r="A11" s="5">
        <v>46316</v>
      </c>
      <c r="B11" t="s">
        <v>7</v>
      </c>
      <c r="C11" t="s">
        <v>6</v>
      </c>
      <c r="D11" t="s">
        <v>39</v>
      </c>
      <c r="E11">
        <v>-182750</v>
      </c>
      <c r="F11" t="s">
        <v>9</v>
      </c>
    </row>
    <row r="12" spans="1:6" x14ac:dyDescent="0.4">
      <c r="A12" s="5">
        <v>46316</v>
      </c>
      <c r="B12" t="s">
        <v>7</v>
      </c>
      <c r="C12" t="s">
        <v>6</v>
      </c>
      <c r="D12" t="s">
        <v>40</v>
      </c>
      <c r="E12">
        <v>-50000</v>
      </c>
      <c r="F12" t="s">
        <v>9</v>
      </c>
    </row>
    <row r="13" spans="1:6" x14ac:dyDescent="0.4">
      <c r="A13" s="5">
        <v>46316</v>
      </c>
      <c r="B13" t="s">
        <v>7</v>
      </c>
      <c r="C13" t="s">
        <v>10</v>
      </c>
      <c r="D13" t="s">
        <v>41</v>
      </c>
      <c r="E13">
        <v>54210</v>
      </c>
      <c r="F13" t="s">
        <v>11</v>
      </c>
    </row>
    <row r="14" spans="1:6" x14ac:dyDescent="0.4">
      <c r="A14" s="5">
        <v>46317</v>
      </c>
      <c r="B14" t="s">
        <v>18</v>
      </c>
      <c r="C14" t="s">
        <v>17</v>
      </c>
      <c r="D14" t="s">
        <v>28</v>
      </c>
      <c r="E14">
        <v>-35</v>
      </c>
      <c r="F14" t="s">
        <v>11</v>
      </c>
    </row>
    <row r="15" spans="1:6" x14ac:dyDescent="0.4">
      <c r="A15" s="5">
        <v>46317</v>
      </c>
      <c r="B15" t="s">
        <v>13</v>
      </c>
      <c r="C15" t="s">
        <v>12</v>
      </c>
      <c r="D15" t="s">
        <v>34</v>
      </c>
      <c r="E15">
        <v>-85.6</v>
      </c>
      <c r="F15" t="s">
        <v>15</v>
      </c>
    </row>
    <row r="16" spans="1:6" x14ac:dyDescent="0.4">
      <c r="A16" s="5">
        <v>46317</v>
      </c>
      <c r="B16" t="s">
        <v>7</v>
      </c>
      <c r="C16" t="s">
        <v>6</v>
      </c>
      <c r="D16" t="s">
        <v>42</v>
      </c>
      <c r="E16">
        <v>-125.4</v>
      </c>
      <c r="F16" t="s">
        <v>9</v>
      </c>
    </row>
    <row r="17" spans="1:6" x14ac:dyDescent="0.4">
      <c r="A17" s="5">
        <v>46317</v>
      </c>
      <c r="B17" t="s">
        <v>7</v>
      </c>
      <c r="C17" t="s">
        <v>10</v>
      </c>
      <c r="D17" t="s">
        <v>43</v>
      </c>
      <c r="E17">
        <v>-12500</v>
      </c>
      <c r="F17" t="s">
        <v>11</v>
      </c>
    </row>
    <row r="18" spans="1:6" x14ac:dyDescent="0.4">
      <c r="A18" s="5">
        <v>46318</v>
      </c>
      <c r="B18" t="s">
        <v>18</v>
      </c>
      <c r="C18" t="s">
        <v>17</v>
      </c>
      <c r="D18" t="s">
        <v>25</v>
      </c>
      <c r="E18">
        <v>143215.6</v>
      </c>
      <c r="F18" t="s">
        <v>11</v>
      </c>
    </row>
    <row r="19" spans="1:6" x14ac:dyDescent="0.4">
      <c r="A19" s="5">
        <v>46318</v>
      </c>
      <c r="B19" t="s">
        <v>13</v>
      </c>
      <c r="C19" t="s">
        <v>16</v>
      </c>
      <c r="D19" t="s">
        <v>35</v>
      </c>
      <c r="E19">
        <v>-18750</v>
      </c>
      <c r="F19" t="s">
        <v>9</v>
      </c>
    </row>
    <row r="20" spans="1:6" x14ac:dyDescent="0.4">
      <c r="A20" s="5">
        <v>46318</v>
      </c>
      <c r="B20" t="s">
        <v>13</v>
      </c>
      <c r="C20" t="s">
        <v>12</v>
      </c>
      <c r="D20" t="s">
        <v>30</v>
      </c>
      <c r="E20">
        <v>87925.4</v>
      </c>
      <c r="F20" t="s">
        <v>15</v>
      </c>
    </row>
    <row r="21" spans="1:6" x14ac:dyDescent="0.4">
      <c r="A21" s="5">
        <v>46318</v>
      </c>
      <c r="B21" t="s">
        <v>7</v>
      </c>
      <c r="C21" t="s">
        <v>6</v>
      </c>
      <c r="D21" t="s">
        <v>37</v>
      </c>
      <c r="E21">
        <v>198045.75</v>
      </c>
      <c r="F21" t="s">
        <v>9</v>
      </c>
    </row>
    <row r="22" spans="1:6" x14ac:dyDescent="0.4">
      <c r="A22" s="5">
        <v>46318</v>
      </c>
      <c r="B22" t="s">
        <v>7</v>
      </c>
      <c r="C22" t="s">
        <v>6</v>
      </c>
      <c r="D22" t="s">
        <v>44</v>
      </c>
      <c r="E22">
        <v>-61200</v>
      </c>
      <c r="F22" t="s">
        <v>9</v>
      </c>
    </row>
    <row r="23" spans="1:6" x14ac:dyDescent="0.4">
      <c r="A23" s="5">
        <v>46319</v>
      </c>
      <c r="B23" t="s">
        <v>18</v>
      </c>
      <c r="C23" t="s">
        <v>17</v>
      </c>
      <c r="D23" t="s">
        <v>29</v>
      </c>
      <c r="E23">
        <v>-29950</v>
      </c>
      <c r="F23" t="s">
        <v>11</v>
      </c>
    </row>
    <row r="24" spans="1:6" x14ac:dyDescent="0.4">
      <c r="A24" s="5">
        <v>46319</v>
      </c>
      <c r="B24" t="s">
        <v>13</v>
      </c>
      <c r="C24" t="s">
        <v>12</v>
      </c>
      <c r="D24" t="s">
        <v>36</v>
      </c>
      <c r="E24">
        <v>-41200</v>
      </c>
      <c r="F24" t="s">
        <v>15</v>
      </c>
    </row>
    <row r="25" spans="1:6" x14ac:dyDescent="0.4">
      <c r="A25" s="5">
        <v>46319</v>
      </c>
      <c r="B25" t="s">
        <v>7</v>
      </c>
      <c r="C25" t="s">
        <v>10</v>
      </c>
      <c r="D25" t="s">
        <v>45</v>
      </c>
      <c r="E25">
        <v>-45</v>
      </c>
      <c r="F25" t="s">
        <v>11</v>
      </c>
    </row>
    <row r="26" spans="1:6" x14ac:dyDescent="0.4">
      <c r="A26" s="5">
        <v>46319</v>
      </c>
      <c r="B26" t="s">
        <v>7</v>
      </c>
      <c r="C26" t="s">
        <v>6</v>
      </c>
      <c r="D26" t="s">
        <v>46</v>
      </c>
      <c r="E26">
        <v>-74310.2</v>
      </c>
      <c r="F26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B89F-1829-4137-9D51-D5591E210C98}">
  <dimension ref="A1:B6"/>
  <sheetViews>
    <sheetView workbookViewId="0">
      <selection activeCell="B26" sqref="B26"/>
    </sheetView>
  </sheetViews>
  <sheetFormatPr baseColWidth="10" defaultRowHeight="14.6" x14ac:dyDescent="0.4"/>
  <cols>
    <col min="1" max="1" width="24.921875" bestFit="1" customWidth="1"/>
    <col min="2" max="2" width="14" bestFit="1" customWidth="1"/>
  </cols>
  <sheetData>
    <row r="1" spans="1:2" x14ac:dyDescent="0.4">
      <c r="A1" t="s">
        <v>0</v>
      </c>
      <c r="B1" t="s">
        <v>47</v>
      </c>
    </row>
    <row r="2" spans="1:2" x14ac:dyDescent="0.4">
      <c r="A2" t="s">
        <v>17</v>
      </c>
      <c r="B2">
        <v>6110.8500000000058</v>
      </c>
    </row>
    <row r="3" spans="1:2" x14ac:dyDescent="0.4">
      <c r="A3" t="s">
        <v>12</v>
      </c>
      <c r="B3">
        <v>59989.799999999988</v>
      </c>
    </row>
    <row r="4" spans="1:2" x14ac:dyDescent="0.4">
      <c r="A4" t="s">
        <v>16</v>
      </c>
      <c r="B4">
        <v>31250</v>
      </c>
    </row>
    <row r="5" spans="1:2" x14ac:dyDescent="0.4">
      <c r="A5" t="s">
        <v>6</v>
      </c>
      <c r="B5">
        <v>36580.650000000009</v>
      </c>
    </row>
    <row r="6" spans="1:2" x14ac:dyDescent="0.4">
      <c r="A6" t="s">
        <v>10</v>
      </c>
      <c r="B6">
        <v>41665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3D2FC-D593-45CC-AFB1-442B6BEAA5C5}">
  <dimension ref="A1:H17"/>
  <sheetViews>
    <sheetView workbookViewId="0">
      <selection activeCell="D19" sqref="D19"/>
    </sheetView>
  </sheetViews>
  <sheetFormatPr baseColWidth="10" defaultRowHeight="14.6" x14ac:dyDescent="0.4"/>
  <cols>
    <col min="1" max="1" width="13.84375" bestFit="1" customWidth="1"/>
    <col min="2" max="2" width="7.921875" bestFit="1" customWidth="1"/>
    <col min="3" max="3" width="10.84375" bestFit="1" customWidth="1"/>
    <col min="4" max="4" width="19.23046875" bestFit="1" customWidth="1"/>
    <col min="5" max="5" width="12.07421875" bestFit="1" customWidth="1"/>
    <col min="7" max="7" width="16.765625" bestFit="1" customWidth="1"/>
    <col min="8" max="8" width="17.53515625" bestFit="1" customWidth="1"/>
    <col min="9" max="9" width="6.84375" bestFit="1" customWidth="1"/>
    <col min="10" max="11" width="9.84375" bestFit="1" customWidth="1"/>
    <col min="12" max="12" width="10.84375" bestFit="1" customWidth="1"/>
    <col min="13" max="13" width="11.69140625" bestFit="1" customWidth="1"/>
  </cols>
  <sheetData>
    <row r="1" spans="1:8" x14ac:dyDescent="0.4">
      <c r="A1" t="s">
        <v>2</v>
      </c>
      <c r="B1" t="s">
        <v>3</v>
      </c>
      <c r="C1" t="s">
        <v>49</v>
      </c>
      <c r="D1" t="s">
        <v>20</v>
      </c>
      <c r="E1" t="s">
        <v>50</v>
      </c>
    </row>
    <row r="2" spans="1:8" x14ac:dyDescent="0.4">
      <c r="A2" t="s">
        <v>8</v>
      </c>
      <c r="B2" t="s">
        <v>9</v>
      </c>
      <c r="C2">
        <v>886580.65</v>
      </c>
      <c r="D2">
        <v>1</v>
      </c>
      <c r="E2">
        <v>886580.65</v>
      </c>
    </row>
    <row r="3" spans="1:8" x14ac:dyDescent="0.4">
      <c r="A3" t="s">
        <v>19</v>
      </c>
      <c r="B3" t="s">
        <v>11</v>
      </c>
      <c r="C3">
        <v>1256110.8500000001</v>
      </c>
      <c r="D3">
        <v>1.085</v>
      </c>
      <c r="E3">
        <v>1157705.8500000001</v>
      </c>
      <c r="G3" s="6" t="s">
        <v>53</v>
      </c>
      <c r="H3" t="s">
        <v>54</v>
      </c>
    </row>
    <row r="4" spans="1:8" x14ac:dyDescent="0.4">
      <c r="A4" t="s">
        <v>8</v>
      </c>
      <c r="B4" t="s">
        <v>11</v>
      </c>
      <c r="C4">
        <v>161665</v>
      </c>
      <c r="D4">
        <v>1.085</v>
      </c>
      <c r="E4">
        <v>149000</v>
      </c>
      <c r="G4" s="7" t="s">
        <v>8</v>
      </c>
      <c r="H4" s="10">
        <v>1045580.65</v>
      </c>
    </row>
    <row r="5" spans="1:8" x14ac:dyDescent="0.4">
      <c r="A5" t="s">
        <v>14</v>
      </c>
      <c r="B5" t="s">
        <v>15</v>
      </c>
      <c r="C5">
        <v>469989.8</v>
      </c>
      <c r="D5">
        <v>0.84199999999999997</v>
      </c>
      <c r="E5">
        <v>558182.66</v>
      </c>
      <c r="G5" s="8" t="s">
        <v>9</v>
      </c>
      <c r="H5" s="10">
        <v>896580.65</v>
      </c>
    </row>
    <row r="6" spans="1:8" x14ac:dyDescent="0.4">
      <c r="A6" t="s">
        <v>14</v>
      </c>
      <c r="B6" t="s">
        <v>9</v>
      </c>
      <c r="C6">
        <v>66250</v>
      </c>
      <c r="D6">
        <v>1</v>
      </c>
      <c r="E6">
        <v>66250</v>
      </c>
      <c r="G6" s="9">
        <v>896580.65</v>
      </c>
      <c r="H6" s="10">
        <v>896580.65</v>
      </c>
    </row>
    <row r="7" spans="1:8" x14ac:dyDescent="0.4">
      <c r="A7" t="s">
        <v>51</v>
      </c>
      <c r="E7">
        <f>SUBTOTAL(109,PosiciónCaja[Saldo_EUR])</f>
        <v>2817719.16</v>
      </c>
      <c r="G7" s="8" t="s">
        <v>11</v>
      </c>
      <c r="H7" s="10">
        <v>149000</v>
      </c>
    </row>
    <row r="8" spans="1:8" x14ac:dyDescent="0.4">
      <c r="G8" s="9">
        <v>161665</v>
      </c>
      <c r="H8" s="10">
        <v>149000</v>
      </c>
    </row>
    <row r="9" spans="1:8" x14ac:dyDescent="0.4">
      <c r="G9" s="7" t="s">
        <v>14</v>
      </c>
      <c r="H9" s="10">
        <v>624432.66</v>
      </c>
    </row>
    <row r="10" spans="1:8" x14ac:dyDescent="0.4">
      <c r="G10" s="8" t="s">
        <v>9</v>
      </c>
      <c r="H10" s="10">
        <v>66250</v>
      </c>
    </row>
    <row r="11" spans="1:8" x14ac:dyDescent="0.4">
      <c r="G11" s="9">
        <v>66250</v>
      </c>
      <c r="H11" s="10">
        <v>66250</v>
      </c>
    </row>
    <row r="12" spans="1:8" x14ac:dyDescent="0.4">
      <c r="G12" s="8" t="s">
        <v>15</v>
      </c>
      <c r="H12" s="10">
        <v>558182.66</v>
      </c>
    </row>
    <row r="13" spans="1:8" x14ac:dyDescent="0.4">
      <c r="G13" s="9">
        <v>469989.8</v>
      </c>
      <c r="H13" s="10">
        <v>558182.66</v>
      </c>
    </row>
    <row r="14" spans="1:8" x14ac:dyDescent="0.4">
      <c r="G14" s="7" t="s">
        <v>19</v>
      </c>
      <c r="H14" s="10">
        <v>1157705.8500000001</v>
      </c>
    </row>
    <row r="15" spans="1:8" x14ac:dyDescent="0.4">
      <c r="G15" s="8" t="s">
        <v>11</v>
      </c>
      <c r="H15" s="10">
        <v>1157705.8500000001</v>
      </c>
    </row>
    <row r="16" spans="1:8" x14ac:dyDescent="0.4">
      <c r="G16" s="9">
        <v>1256110.8500000001</v>
      </c>
      <c r="H16" s="10">
        <v>1157705.8500000001</v>
      </c>
    </row>
    <row r="17" spans="7:8" x14ac:dyDescent="0.4">
      <c r="G17" s="7" t="s">
        <v>52</v>
      </c>
      <c r="H17" s="10">
        <v>2827719.16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9F74-1FDF-46C5-ACAF-16C1A999A674}">
  <dimension ref="A1:G6"/>
  <sheetViews>
    <sheetView workbookViewId="0">
      <selection activeCell="D19" sqref="D19"/>
    </sheetView>
  </sheetViews>
  <sheetFormatPr baseColWidth="10" defaultRowHeight="14.6" x14ac:dyDescent="0.4"/>
  <cols>
    <col min="1" max="1" width="24.921875" bestFit="1" customWidth="1"/>
    <col min="2" max="2" width="9.23046875" bestFit="1" customWidth="1"/>
    <col min="3" max="3" width="13.84375" bestFit="1" customWidth="1"/>
    <col min="4" max="4" width="7.921875" bestFit="1" customWidth="1"/>
    <col min="5" max="5" width="13.3828125" bestFit="1" customWidth="1"/>
    <col min="6" max="6" width="14" bestFit="1" customWidth="1"/>
    <col min="7" max="7" width="12.535156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47</v>
      </c>
      <c r="G1" t="s">
        <v>48</v>
      </c>
    </row>
    <row r="2" spans="1:7" x14ac:dyDescent="0.4">
      <c r="A2" t="s">
        <v>6</v>
      </c>
      <c r="B2" t="s">
        <v>7</v>
      </c>
      <c r="C2" t="s">
        <v>8</v>
      </c>
      <c r="D2" t="s">
        <v>9</v>
      </c>
      <c r="E2">
        <v>850000</v>
      </c>
      <c r="F2">
        <v>36580.650000000009</v>
      </c>
      <c r="G2">
        <v>886580.65</v>
      </c>
    </row>
    <row r="3" spans="1:7" x14ac:dyDescent="0.4">
      <c r="A3" t="s">
        <v>17</v>
      </c>
      <c r="B3" t="s">
        <v>18</v>
      </c>
      <c r="C3" t="s">
        <v>19</v>
      </c>
      <c r="D3" t="s">
        <v>11</v>
      </c>
      <c r="E3">
        <v>1250000</v>
      </c>
      <c r="F3">
        <v>6110.8500000000058</v>
      </c>
      <c r="G3">
        <v>1256110.8500000001</v>
      </c>
    </row>
    <row r="4" spans="1:7" x14ac:dyDescent="0.4">
      <c r="A4" t="s">
        <v>10</v>
      </c>
      <c r="B4" t="s">
        <v>7</v>
      </c>
      <c r="C4" t="s">
        <v>8</v>
      </c>
      <c r="D4" t="s">
        <v>11</v>
      </c>
      <c r="E4">
        <v>120000</v>
      </c>
      <c r="F4">
        <v>41665</v>
      </c>
      <c r="G4">
        <v>161665</v>
      </c>
    </row>
    <row r="5" spans="1:7" x14ac:dyDescent="0.4">
      <c r="A5" t="s">
        <v>12</v>
      </c>
      <c r="B5" t="s">
        <v>13</v>
      </c>
      <c r="C5" t="s">
        <v>14</v>
      </c>
      <c r="D5" t="s">
        <v>15</v>
      </c>
      <c r="E5">
        <v>410000</v>
      </c>
      <c r="F5">
        <v>59989.799999999988</v>
      </c>
      <c r="G5">
        <v>469989.8</v>
      </c>
    </row>
    <row r="6" spans="1:7" x14ac:dyDescent="0.4">
      <c r="A6" t="s">
        <v>16</v>
      </c>
      <c r="B6" t="s">
        <v>13</v>
      </c>
      <c r="C6" t="s">
        <v>14</v>
      </c>
      <c r="D6" t="s">
        <v>9</v>
      </c>
      <c r="E6">
        <v>35000</v>
      </c>
      <c r="F6">
        <v>31250</v>
      </c>
      <c r="G6">
        <v>66250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99543-5E79-4426-9A92-A8F49183D925}">
  <dimension ref="A1:B4"/>
  <sheetViews>
    <sheetView workbookViewId="0">
      <selection sqref="A1:B4"/>
    </sheetView>
  </sheetViews>
  <sheetFormatPr baseColWidth="10" defaultRowHeight="14.6" x14ac:dyDescent="0.4"/>
  <cols>
    <col min="1" max="1" width="9.23046875" bestFit="1" customWidth="1"/>
    <col min="2" max="2" width="22" bestFit="1" customWidth="1"/>
    <col min="3" max="3" width="9.23046875" bestFit="1" customWidth="1"/>
    <col min="4" max="4" width="24.921875" bestFit="1" customWidth="1"/>
    <col min="5" max="5" width="31.23046875" bestFit="1" customWidth="1"/>
    <col min="6" max="6" width="9.765625" bestFit="1" customWidth="1"/>
    <col min="7" max="7" width="7.921875" bestFit="1" customWidth="1"/>
    <col min="8" max="8" width="13.61328125" bestFit="1" customWidth="1"/>
    <col min="9" max="9" width="24.921875" bestFit="1" customWidth="1"/>
    <col min="10" max="10" width="15.15234375" bestFit="1" customWidth="1"/>
  </cols>
  <sheetData>
    <row r="1" spans="1:2" x14ac:dyDescent="0.4">
      <c r="A1" t="s">
        <v>1</v>
      </c>
      <c r="B1" t="s">
        <v>55</v>
      </c>
    </row>
    <row r="2" spans="1:2" x14ac:dyDescent="0.4">
      <c r="A2" t="s">
        <v>18</v>
      </c>
      <c r="B2">
        <v>32.26</v>
      </c>
    </row>
    <row r="3" spans="1:2" x14ac:dyDescent="0.4">
      <c r="A3" t="s">
        <v>13</v>
      </c>
      <c r="B3">
        <v>101.66</v>
      </c>
    </row>
    <row r="4" spans="1:2" x14ac:dyDescent="0.4">
      <c r="A4" t="s">
        <v>7</v>
      </c>
      <c r="B4">
        <v>166.87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19" sqref="C19"/>
    </sheetView>
  </sheetViews>
  <sheetFormatPr baseColWidth="10" defaultColWidth="9.23046875" defaultRowHeight="14.6" x14ac:dyDescent="0.4"/>
  <cols>
    <col min="1" max="1" width="28" customWidth="1"/>
    <col min="2" max="2" width="12" customWidth="1"/>
    <col min="3" max="3" width="18" customWidth="1"/>
    <col min="4" max="4" width="8" customWidth="1"/>
    <col min="5" max="5" width="16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G1" s="1" t="s">
        <v>5</v>
      </c>
    </row>
    <row r="2" spans="1:7" x14ac:dyDescent="0.4">
      <c r="A2" t="s">
        <v>6</v>
      </c>
      <c r="B2" t="s">
        <v>7</v>
      </c>
      <c r="C2" t="s">
        <v>8</v>
      </c>
      <c r="D2" t="s">
        <v>9</v>
      </c>
      <c r="E2" s="2">
        <v>850000</v>
      </c>
    </row>
    <row r="3" spans="1:7" x14ac:dyDescent="0.4">
      <c r="A3" t="s">
        <v>10</v>
      </c>
      <c r="B3" t="s">
        <v>7</v>
      </c>
      <c r="C3" t="s">
        <v>8</v>
      </c>
      <c r="D3" t="s">
        <v>11</v>
      </c>
      <c r="E3" s="2">
        <v>120000</v>
      </c>
    </row>
    <row r="4" spans="1:7" x14ac:dyDescent="0.4">
      <c r="A4" s="3" t="s">
        <v>12</v>
      </c>
      <c r="B4" s="3" t="s">
        <v>13</v>
      </c>
      <c r="C4" s="3" t="s">
        <v>14</v>
      </c>
      <c r="D4" s="3" t="s">
        <v>15</v>
      </c>
      <c r="E4" s="4">
        <v>410000</v>
      </c>
    </row>
    <row r="5" spans="1:7" x14ac:dyDescent="0.4">
      <c r="A5" s="3" t="s">
        <v>16</v>
      </c>
      <c r="B5" s="3" t="s">
        <v>13</v>
      </c>
      <c r="C5" s="3" t="s">
        <v>14</v>
      </c>
      <c r="D5" s="3" t="s">
        <v>9</v>
      </c>
      <c r="E5" s="4">
        <v>35000</v>
      </c>
    </row>
    <row r="6" spans="1:7" x14ac:dyDescent="0.4">
      <c r="A6" t="s">
        <v>17</v>
      </c>
      <c r="B6" t="s">
        <v>18</v>
      </c>
      <c r="C6" t="s">
        <v>19</v>
      </c>
      <c r="D6" t="s">
        <v>11</v>
      </c>
      <c r="E6" s="2">
        <v>1250000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A2" sqref="A2"/>
    </sheetView>
  </sheetViews>
  <sheetFormatPr baseColWidth="10" defaultColWidth="9.23046875" defaultRowHeight="14.6" x14ac:dyDescent="0.4"/>
  <cols>
    <col min="1" max="1" width="10" customWidth="1"/>
    <col min="2" max="2" width="18" customWidth="1"/>
  </cols>
  <sheetData>
    <row r="1" spans="1:4" x14ac:dyDescent="0.4">
      <c r="A1" t="s">
        <v>3</v>
      </c>
      <c r="B1" t="s">
        <v>20</v>
      </c>
      <c r="D1" s="1" t="s">
        <v>21</v>
      </c>
    </row>
    <row r="2" spans="1:4" x14ac:dyDescent="0.4">
      <c r="A2" t="s">
        <v>9</v>
      </c>
      <c r="B2">
        <v>1</v>
      </c>
    </row>
    <row r="3" spans="1:4" x14ac:dyDescent="0.4">
      <c r="A3" t="s">
        <v>11</v>
      </c>
      <c r="B3">
        <v>1.085</v>
      </c>
    </row>
    <row r="4" spans="1:4" x14ac:dyDescent="0.4">
      <c r="A4" t="s">
        <v>15</v>
      </c>
      <c r="B4">
        <v>0.84199999999999997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10581E-9CA7-49A9-961A-AA2C497144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Movimientos</vt:lpstr>
      <vt:lpstr>MovCuenta</vt:lpstr>
      <vt:lpstr>PosiciónCaja</vt:lpstr>
      <vt:lpstr>Saldos_Cuenta</vt:lpstr>
      <vt:lpstr>Comisiones</vt:lpstr>
      <vt:lpstr>Cuentas</vt:lpstr>
      <vt:lpstr>TiposCambio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Angosto</cp:lastModifiedBy>
  <dcterms:created xsi:type="dcterms:W3CDTF">2026-10-28T10:32:33Z</dcterms:created>
  <dcterms:modified xsi:type="dcterms:W3CDTF">2026-10-29T10:10:09Z</dcterms:modified>
</cp:coreProperties>
</file>